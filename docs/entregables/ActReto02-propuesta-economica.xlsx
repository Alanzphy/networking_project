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opuesta Economica" sheetId="1" r:id="rId1"/>
  </sheet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$#,##0 &quot;M.N.&quot;"/>
  </numFmts>
  <fonts count="5">
    <font>
      <sz val="11"/>
      <name val="Calibri"/>
    </font>
    <font>
      <b/>
      <sz val="16"/>
      <name val="Calibri"/>
      <color rgb="FF000000"/>
    </font>
    <font>
      <b/>
      <sz val="15"/>
      <name val="Calibri"/>
      <color rgb="FFFFFFFF"/>
    </font>
    <font>
      <b/>
      <sz val="14"/>
      <name val="Calibri"/>
      <color rgb="FF000000"/>
    </font>
    <font>
      <sz val="10"/>
      <name val="Calibri"/>
      <color rgb="FF000000"/>
    </font>
  </fonts>
  <fills count="5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applyBorder="1" applyAlignment="1">
      <alignment horizontal="center" vertical="center"/>
    </xf>
    <xf numFmtId="0" fontId="0" fillId="4" borderId="1" xfId="0" applyBorder="1" applyAlignment="1">
      <alignment horizontal="center" vertical="center" wrapText="1"/>
    </xf>
    <xf numFmtId="0" fontId="0" fillId="4" borderId="1" xfId="0" applyBorder="1" applyAlignment="1">
      <alignment horizontal="left" vertical="center" wrapText="1"/>
    </xf>
    <xf numFmtId="164" fontId="0" fillId="4" borderId="1" xfId="0" applyNumberForma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64" fontId="3" fillId="3" borderId="2" xfId="0" applyNumberFormat="1" applyFont="1" applyFill="1" applyBorder="1" applyAlignment="1">
      <alignment horizontal="right" vertical="center"/>
    </xf>
    <xf numFmtId="0" fontId="3" fillId="0" borderId="0" xfId="0" applyFont="1"/>
    <xf numFmtId="0" fontId="4" fillId="0" borderId="0" xfId="0" applyFont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selection activeCell="B4" sqref="B4"/>
    </sheetView>
  </sheetViews>
  <sheetFormatPr defaultRowHeight="15"/>
  <cols>
    <col min="1" max="1" width="4" customWidth="1"/>
    <col min="2" max="2" width="16" customWidth="1"/>
    <col min="3" max="3" width="28" customWidth="1"/>
    <col min="4" max="4" width="78" customWidth="1"/>
    <col min="5" max="5" width="18" customWidth="1"/>
    <col min="6" max="6" width="18" customWidth="1"/>
  </cols>
  <sheetData>
    <row r="1" ht="22" customHeight="1">
      <c r="A1" t="inlineStr">
        <is>
          <t/>
        </is>
      </c>
      <c r="B1" t="inlineStr">
        <is>
          <t/>
        </is>
      </c>
      <c r="C1" t="inlineStr">
        <is>
          <t/>
        </is>
      </c>
      <c r="D1" t="inlineStr">
        <is>
          <t/>
        </is>
      </c>
      <c r="E1" t="inlineStr">
        <is>
          <t/>
        </is>
      </c>
      <c r="F1" t="inlineStr">
        <is>
          <t/>
        </is>
      </c>
    </row>
    <row r="2" ht="34" customHeight="1">
      <c r="A2" t="inlineStr">
        <is>
          <t/>
        </is>
      </c>
      <c r="B2" s="1" t="inlineStr">
        <is>
          <t>Lista de equipos de interconexion y materiales requeridos para la organizacion de la XXV Olimpiada Mexicana de Informatica (OMI).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</row>
    <row r="3" ht="18" customHeight="1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</row>
    <row r="4" ht="25" customHeight="1">
      <c r="A4" s="2" t="inlineStr">
        <is>
          <t/>
        </is>
      </c>
      <c r="B4" s="2" t="inlineStr">
        <is>
          <t>Cantidad</t>
        </is>
      </c>
      <c r="C4" s="2" t="inlineStr">
        <is>
          <t>Numero de producto</t>
        </is>
      </c>
      <c r="D4" s="2" t="inlineStr">
        <is>
          <t>Descripcion/Justificacion</t>
        </is>
      </c>
      <c r="E4" s="2" t="inlineStr">
        <is>
          <t>Costo Unitario</t>
        </is>
      </c>
      <c r="F4" s="2" t="inlineStr">
        <is>
          <t>Costo total</t>
        </is>
      </c>
    </row>
    <row r="5" ht="38" customHeight="1">
      <c r="A5" s="3" t="inlineStr">
        <is>
          <t/>
        </is>
      </c>
      <c r="B5" s="4">
        <v>130</v>
      </c>
      <c r="C5" s="5" t="inlineStr">
        <is>
          <t>RENTA-LAPTOP-2D</t>
        </is>
      </c>
      <c r="D5" s="6" t="inlineStr">
        <is>
          <t>Renta de laptop por 2 dias para 120 competidores externos en Sala Borrego y 10 jueces. Incluye patch cord y tarjeta WiFi.</t>
        </is>
      </c>
      <c r="E5" s="7">
        <v>1200</v>
      </c>
      <c r="F5" s="7">
        <f>B5*E5</f>
        <v>156000</v>
      </c>
    </row>
    <row r="6" ht="38" customHeight="1">
      <c r="A6" s="3" t="inlineStr">
        <is>
          <t/>
        </is>
      </c>
      <c r="B6" s="4">
        <v>19</v>
      </c>
      <c r="C6" s="5" t="inlineStr">
        <is>
          <t>CCTV-223</t>
        </is>
      </c>
      <c r="D6" s="6" t="inlineStr">
        <is>
          <t>Camaras adicionales/rentadas para vigilancia del evento por SSID OMI-Camaras / VLAN 80. Costo de referencia Steren Mexico.</t>
        </is>
      </c>
      <c r="E6" s="7">
        <v>899</v>
      </c>
      <c r="F6" s="7">
        <f>B6*E6</f>
        <v>17081</v>
      </c>
    </row>
    <row r="7" ht="38" customHeight="1">
      <c r="A7" s="3" t="inlineStr">
        <is>
          <t/>
        </is>
      </c>
      <c r="B7" s="4">
        <v>2</v>
      </c>
      <c r="C7" s="5" t="inlineStr">
        <is>
          <t>SOPORTE-TI-DIA</t>
        </is>
      </c>
      <c r="D7" s="6" t="inlineStr">
        <is>
          <t>Soporte T.I. nominal por dia para configuracion, monitoreo y atencion de fallas durante el evento.</t>
        </is>
      </c>
      <c r="E7" s="7">
        <v>500</v>
      </c>
      <c r="F7" s="7">
        <f>B7*E7</f>
        <v>1000</v>
      </c>
    </row>
    <row r="8" ht="38" customHeight="1">
      <c r="A8" s="3" t="inlineStr">
        <is>
          <t/>
        </is>
      </c>
      <c r="B8" s="4">
        <v>0</v>
      </c>
      <c r="C8" s="5" t="inlineStr">
        <is>
          <t>SWITCH-RENTA-2D</t>
        </is>
      </c>
      <c r="D8" s="6" t="inlineStr">
        <is>
          <t>Switches rentados no requeridos como base por estrategia WiFi y uso de infraestructura existente.</t>
        </is>
      </c>
      <c r="E8" s="7">
        <v>600</v>
      </c>
      <c r="F8" s="7">
        <f>B8*E8</f>
        <v>0</v>
      </c>
    </row>
    <row r="9" ht="38" customHeight="1">
      <c r="A9" s="3" t="inlineStr">
        <is>
          <t/>
        </is>
      </c>
      <c r="B9" s="4">
        <v>0</v>
      </c>
      <c r="C9" s="5" t="inlineStr">
        <is>
          <t>CAT6A-NODO</t>
        </is>
      </c>
      <c r="D9" s="6" t="inlineStr">
        <is>
          <t>Nodos Cat 6a nuevos no requeridos como base. Referencia de consigna: $200 USD por nodo si fuera puntual.</t>
        </is>
      </c>
      <c r="E9" s="7">
        <v>0</v>
      </c>
      <c r="F9" s="7">
        <f>B9*E9</f>
        <v>0</v>
      </c>
    </row>
    <row r="10" ht="38" customHeight="1">
      <c r="A10" s="3" t="inlineStr">
        <is>
          <t/>
        </is>
      </c>
      <c r="B10" s="4">
        <v>0</v>
      </c>
      <c r="C10" s="5" t="inlineStr">
        <is>
          <t>AP-ADICIONAL</t>
        </is>
      </c>
      <c r="D10" s="6" t="inlineStr">
        <is>
          <t>APs adicionales no requeridos como base. Sala Borrego cuenta con 3 APs para 120 laptops.</t>
        </is>
      </c>
      <c r="E10" s="7">
        <v>0</v>
      </c>
      <c r="F10" s="7">
        <f>B10*E10</f>
        <v>0</v>
      </c>
    </row>
    <row r="11" ht="38" customHeight="1">
      <c r="A11" s="3" t="inlineStr">
        <is>
          <t/>
        </is>
      </c>
      <c r="B11" s="4">
        <v>0</v>
      </c>
      <c r="C11" s="5" t="inlineStr">
        <is>
          <t>MOBILIARIO</t>
        </is>
      </c>
      <c r="D11" s="6" t="inlineStr">
        <is>
          <t>Sillas y mobiliario existentes suficientes en los espacios; no se renta mobiliario como base.</t>
        </is>
      </c>
      <c r="E11" s="7">
        <v>0</v>
      </c>
      <c r="F11" s="7">
        <f>B11*E11</f>
        <v>0</v>
      </c>
    </row>
    <row r="12" ht="26" customHeight="1">
      <c r="A12" s="8" t="inlineStr">
        <is>
          <t>Total</t>
        </is>
      </c>
      <c r="B12" s="8" t="inlineStr">
        <is>
          <t/>
        </is>
      </c>
      <c r="C12" s="8" t="inlineStr">
        <is>
          <t/>
        </is>
      </c>
      <c r="D12" s="8" t="inlineStr">
        <is>
          <t/>
        </is>
      </c>
      <c r="E12" s="8" t="inlineStr">
        <is>
          <t/>
        </is>
      </c>
      <c r="F12" s="9">
        <f>SUM(F5:F11)</f>
        <v>174081</v>
      </c>
    </row>
    <row r="14" ht="42" customHeight="1">
      <c r="A14" t="inlineStr">
        <is>
          <t/>
        </is>
      </c>
      <c r="B14" s="10" t="inlineStr">
        <is>
          <t>Nota:</t>
        </is>
      </c>
      <c r="C14" s="11" t="inlineStr">
        <is>
          <t>El costo de camaras usa precio de referencia de compra equivalente ($899 M.N.) porque la renta por evento requiere cotizacion personalizada. Steren Mexico y Cyberpuerta se documentan como fuentes de referencia en el Markdown.</t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</row>
  </sheetData>
  <mergeCells count="2">
    <mergeCell ref="B2:F2"/>
    <mergeCell ref="C14:F14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ActReto02 - Propuesta economica</dc:title>
  <dc:creator>Codex</dc:creator>
</cp:coreProperties>
</file>